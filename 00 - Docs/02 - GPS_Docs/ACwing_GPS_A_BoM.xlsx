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Cost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<sst xmlns="http://schemas.openxmlformats.org/spreadsheetml/2006/main" count="255" uniqueCount="144">
  <si>
    <t xml:space="preserve">ACwing GPS rev A - assembly BoM (1 board)</t>
  </si>
  <si>
    <t xml:space="preserve">Source: ACwing_GPS_A.kicad_sch / ACwing_GPS_A.kicad_pcb. LCSC part numbers checked on 2026-10-17. U1 and C5 are not stocked by LCSC: consigned parts or hand soldering.</t>
  </si>
  <si>
    <t xml:space="preserve">Item</t>
  </si>
  <si>
    <t xml:space="preserve">Quantity</t>
  </si>
  <si>
    <t xml:space="preserve">Part Reference</t>
  </si>
  <si>
    <t xml:space="preserve">Value</t>
  </si>
  <si>
    <t xml:space="preserve">MPN</t>
  </si>
  <si>
    <t xml:space="preserve">Manufacturer</t>
  </si>
  <si>
    <t xml:space="preserve">LCSC / JLCPCB #</t>
  </si>
  <si>
    <t xml:space="preserve">Package</t>
  </si>
  <si>
    <t xml:space="preserve">Description</t>
  </si>
  <si>
    <t xml:space="preserve">Side</t>
  </si>
  <si>
    <t xml:space="preserve">Notes</t>
  </si>
  <si>
    <t xml:space="preserve">C1</t>
  </si>
  <si>
    <t xml:space="preserve">10uF</t>
  </si>
  <si>
    <t xml:space="preserve">CL10A106KP8NNNC</t>
  </si>
  <si>
    <t xml:space="preserve">Samsung Electro-Mechanics</t>
  </si>
  <si>
    <t xml:space="preserve">C19702</t>
  </si>
  <si>
    <t xml:space="preserve">0603 (1608 metric), h 0.9 mm</t>
  </si>
  <si>
    <t xml:space="preserve">Capacitor, MLCC, 10 uF, 10 V, X5R</t>
  </si>
  <si>
    <t xml:space="preserve">Bottom</t>
  </si>
  <si>
    <t xml:space="preserve">C3, C4, C7</t>
  </si>
  <si>
    <t xml:space="preserve">100nF</t>
  </si>
  <si>
    <t xml:space="preserve">CL05B104KO5NNNC</t>
  </si>
  <si>
    <t xml:space="preserve">C1525</t>
  </si>
  <si>
    <t xml:space="preserve">0402 (1005 metric)</t>
  </si>
  <si>
    <t xml:space="preserve">Capacitor, MLCC, 100 nF, 16 V, X7R</t>
  </si>
  <si>
    <t xml:space="preserve">C5</t>
  </si>
  <si>
    <t xml:space="preserve">11mF</t>
  </si>
  <si>
    <t xml:space="preserve">CPH3225A</t>
  </si>
  <si>
    <t xml:space="preserve">Seiko Instruments</t>
  </si>
  <si>
    <t xml:space="preserve">Consigned (not at LCSC)</t>
  </si>
  <si>
    <t xml:space="preserve">3225 (1210), h 0.9 mm</t>
  </si>
  <si>
    <t xml:space="preserve">Electric double-layer capacitor, 11 mF, 3.3 V, reflow capable</t>
  </si>
  <si>
    <t xml:space="preserve">GNSS backup supply (hot start). Check the land pattern against the Seiko drawing; + toward D1</t>
  </si>
  <si>
    <t xml:space="preserve">C6</t>
  </si>
  <si>
    <t xml:space="preserve">220nF</t>
  </si>
  <si>
    <t xml:space="preserve">CL05B224KO5NNNC</t>
  </si>
  <si>
    <t xml:space="preserve">C16772</t>
  </si>
  <si>
    <t xml:space="preserve">Capacitor, MLCC, 220 nF, 16 V, X7R</t>
  </si>
  <si>
    <t xml:space="preserve">IIS2MDC C1 (ESR &lt; 200 mOhm)</t>
  </si>
  <si>
    <t xml:space="preserve">D1</t>
  </si>
  <si>
    <t xml:space="preserve">RB521S30</t>
  </si>
  <si>
    <t xml:space="preserve">Changjiang (JCET)</t>
  </si>
  <si>
    <t xml:space="preserve">C8523</t>
  </si>
  <si>
    <t xml:space="preserve">SOD-523</t>
  </si>
  <si>
    <t xml:space="preserve">Diode, Schottky, 30 V, 200 mA</t>
  </si>
  <si>
    <t xml:space="preserve">Backup supply blocking diode</t>
  </si>
  <si>
    <t xml:space="preserve">D2</t>
  </si>
  <si>
    <t xml:space="preserve">green</t>
  </si>
  <si>
    <t xml:space="preserve">XL-1005UGC</t>
  </si>
  <si>
    <t xml:space="preserve">XINGLIGHT</t>
  </si>
  <si>
    <t xml:space="preserve">C965793</t>
  </si>
  <si>
    <t xml:space="preserve">LED, green, 0402</t>
  </si>
  <si>
    <t xml:space="preserve">Top</t>
  </si>
  <si>
    <t xml:space="preserve">PPS indicator, top side</t>
  </si>
  <si>
    <t xml:space="preserve">J1</t>
  </si>
  <si>
    <t xml:space="preserve">Qwiic IN</t>
  </si>
  <si>
    <t xml:space="preserve">SM04B-SRSS-TB(LF)(SN)</t>
  </si>
  <si>
    <t xml:space="preserve">JST</t>
  </si>
  <si>
    <t xml:space="preserve">C160404</t>
  </si>
  <si>
    <t xml:space="preserve">JST SH 4P side entry, h 2.9 mm</t>
  </si>
  <si>
    <t xml:space="preserve">Connector, JST SH, 4 positions, 1.0 mm pitch, side entry</t>
  </si>
  <si>
    <t xml:space="preserve">Qwiic in: top side, right edge at v = +3.6 (aligned with FC J3), mouth +X; cable from FC J3</t>
  </si>
  <si>
    <t xml:space="preserve">J2</t>
  </si>
  <si>
    <t xml:space="preserve">Qwiic OUT</t>
  </si>
  <si>
    <t xml:space="preserve">Qwiic out: top side, mouth at the rear edge; optional pass-through</t>
  </si>
  <si>
    <t xml:space="preserve">Q1</t>
  </si>
  <si>
    <t xml:space="preserve">2N7002</t>
  </si>
  <si>
    <t xml:space="preserve">C8545</t>
  </si>
  <si>
    <t xml:space="preserve">SOT-23</t>
  </si>
  <si>
    <t xml:space="preserve">MOSFET, N-channel, 60 V, 115 mA</t>
  </si>
  <si>
    <t xml:space="preserve">PPS LED driver, gate on TIMEPULSE only</t>
  </si>
  <si>
    <t xml:space="preserve">R1</t>
  </si>
  <si>
    <t xml:space="preserve">1k</t>
  </si>
  <si>
    <t xml:space="preserve">0402WGF1001TCE</t>
  </si>
  <si>
    <t xml:space="preserve">UNI-ROYAL</t>
  </si>
  <si>
    <t xml:space="preserve">C11702</t>
  </si>
  <si>
    <t xml:space="preserve">Resistor, 1 kOhm, 1 %, 1/16 W</t>
  </si>
  <si>
    <t xml:space="preserve">Supercap charge limit</t>
  </si>
  <si>
    <t xml:space="preserve">R2</t>
  </si>
  <si>
    <t xml:space="preserve">220R</t>
  </si>
  <si>
    <t xml:space="preserve">0402WGF2200TCE</t>
  </si>
  <si>
    <t xml:space="preserve">C25091</t>
  </si>
  <si>
    <t xml:space="preserve">Resistor, 220 Ohm, 1 %, 1/16 W</t>
  </si>
  <si>
    <t xml:space="preserve">LED current ~1.4 mA</t>
  </si>
  <si>
    <t xml:space="preserve">U1</t>
  </si>
  <si>
    <t xml:space="preserve">SAM-M10Q-00B</t>
  </si>
  <si>
    <t xml:space="preserve">u-blox</t>
  </si>
  <si>
    <t xml:space="preserve">LGA-20 15.5 x 15.5 x 6.3 mm</t>
  </si>
  <si>
    <t xml:space="preserve">GNSS antenna module, u-blox M10, GPS/Galileo/BeiDou/GLONASS, UART + I2C</t>
  </si>
  <si>
    <t xml:space="preserve">Buy from DigiKey/Mouser and send to JLC as consigned parts, or solder by hand. MSL 4: bake before reflow if the bag was opened</t>
  </si>
  <si>
    <t xml:space="preserve">U3</t>
  </si>
  <si>
    <t xml:space="preserve">IIS2MDC</t>
  </si>
  <si>
    <t xml:space="preserve">IIS2MDCTR</t>
  </si>
  <si>
    <t xml:space="preserve">STMicroelectronics</t>
  </si>
  <si>
    <t xml:space="preserve">C2655002</t>
  </si>
  <si>
    <t xml:space="preserve">LGA-12 (2x2)</t>
  </si>
  <si>
    <t xml:space="preserve">3-axis magnetometer, I2C 0x1E</t>
  </si>
  <si>
    <t xml:space="preserve">Axes aligned with the FC; same part as the FC compass</t>
  </si>
  <si>
    <t xml:space="preserve">Total</t>
  </si>
  <si>
    <t xml:space="preserve">Total placements (assembled parts)</t>
  </si>
  <si>
    <t xml:space="preserve">-</t>
  </si>
  <si>
    <t xml:space="preserve">line items</t>
  </si>
  <si>
    <t xml:space="preserve">Not-assembled items listed below</t>
  </si>
  <si>
    <t xml:space="preserve">Not assembled (PCB features / DNP)</t>
  </si>
  <si>
    <t xml:space="preserve">NA1</t>
  </si>
  <si>
    <t xml:space="preserve">H1, H2, H3, H4</t>
  </si>
  <si>
    <t xml:space="preserve">M2</t>
  </si>
  <si>
    <t xml:space="preserve">N/A (PCB feature)</t>
  </si>
  <si>
    <t xml:space="preserve">N/A</t>
  </si>
  <si>
    <t xml:space="preserve">NPTH 2.2 mm</t>
  </si>
  <si>
    <t xml:space="preserve">Mounting hole, M2, 20 x 20 pattern</t>
  </si>
  <si>
    <t xml:space="preserve">Keep-out r 2.6 mm on both sides for the nylon standoff / nut</t>
  </si>
  <si>
    <t xml:space="preserve">NA2</t>
  </si>
  <si>
    <t xml:space="preserve">TP1, TP2, TP3, TP4, TP5</t>
  </si>
  <si>
    <t xml:space="preserve">Test pad</t>
  </si>
  <si>
    <t xml:space="preserve">SMD pad 1.0 mm</t>
  </si>
  <si>
    <t xml:space="preserve">Test pads SAFEBOOT_N, RESET_N, GND, GNSS TXD, GNSS RXD</t>
  </si>
  <si>
    <t xml:space="preserve">Firmware recovery: short TP1 to TP3 at power-up; u-center over a 3.3 V USB-UART on TP4/TP5</t>
  </si>
  <si>
    <t xml:space="preserve">NA3</t>
  </si>
  <si>
    <t xml:space="preserve">R3</t>
  </si>
  <si>
    <t xml:space="preserve">4.7k</t>
  </si>
  <si>
    <t xml:space="preserve">0402WGF4701TCE</t>
  </si>
  <si>
    <t xml:space="preserve">C25900 (DNP)</t>
  </si>
  <si>
    <t xml:space="preserve">Resistor, 4.7 kOhm, 1 %, 1/16 W</t>
  </si>
  <si>
    <t xml:space="preserve">Do not populate: the I2C pull-ups are on the FC (R15/R16). Fit only for a host without pull-ups</t>
  </si>
  <si>
    <t xml:space="preserve">NA4</t>
  </si>
  <si>
    <t xml:space="preserve">R4</t>
  </si>
  <si>
    <t xml:space="preserve">ACwing GPS rev A - component costing (assembled parts, USD)</t>
  </si>
  <si>
    <t xml:space="preserve">Blue = input prices; black = formulas. "Estimate" rows are typical distributor prices, not quotes. PCB, assembly fees and the cable are not included.</t>
  </si>
  <si>
    <t xml:space="preserve">References</t>
  </si>
  <si>
    <t xml:space="preserve">Qty / board</t>
  </si>
  <si>
    <t xml:space="preserve">Source</t>
  </si>
  <si>
    <t xml:space="preserve">Unit price @10 boards</t>
  </si>
  <si>
    <t xml:space="preserve">Unit price @100 boards</t>
  </si>
  <si>
    <t xml:space="preserve">Cost / board @10</t>
  </si>
  <si>
    <t xml:space="preserve">Cost / board @100</t>
  </si>
  <si>
    <t xml:space="preserve">Price basis</t>
  </si>
  <si>
    <t xml:space="preserve">LCSC quote</t>
  </si>
  <si>
    <t xml:space="preserve">Estimate</t>
  </si>
  <si>
    <t xml:space="preserve">Total per board</t>
  </si>
  <si>
    <t xml:space="preserve">Share of U1 (SAM-M10Q)</t>
  </si>
  <si>
    <t xml:space="preserve">The GNSS module is most of the cost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</si>
</sst>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0"/>
    <numFmt numFmtId="166" formatCode="\$#,##0.0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40"/>
    <col collapsed="false" customWidth="true" hidden="false" outlineLevel="0" max="10" min="10" style="0" width="9"/>
    <col collapsed="false" customWidth="true" hidden="false" outlineLevel="0" max="11" min="11" style="0" width="60"/>
  </cols>
  <sheetData>
    <row r="1" customFormat="false" ht="157.4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25.3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23.85" hidden="false" customHeight="false" outlineLevel="0" collapsed="false">
      <c r="A5" s="5" t="n">
        <v>1</v>
      </c>
      <c r="B5" s="5" t="n">
        <v>1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s="5"/>
    </row>
    <row r="6" customFormat="false" ht="23.85" hidden="false" customHeight="false" outlineLevel="0" collapsed="false">
      <c r="A6" s="5" t="n">
        <v>2</v>
      </c>
      <c r="B6" s="5" t="n">
        <v>3</v>
      </c>
      <c r="C6" s="5" t="s">
        <v>21</v>
      </c>
      <c r="D6" s="5" t="s">
        <v>22</v>
      </c>
      <c r="E6" s="5" t="s">
        <v>23</v>
      </c>
      <c r="F6" s="5" t="s">
        <v>16</v>
      </c>
      <c r="G6" s="5" t="s">
        <v>24</v>
      </c>
      <c r="H6" s="5" t="s">
        <v>25</v>
      </c>
      <c r="I6" s="5" t="s">
        <v>26</v>
      </c>
      <c r="J6" s="5" t="s">
        <v>20</v>
      </c>
      <c r="K6" s="5"/>
    </row>
    <row r="7" customFormat="false" ht="23.85" hidden="false" customHeight="false" outlineLevel="0" collapsed="false">
      <c r="A7" s="5" t="n">
        <v>3</v>
      </c>
      <c r="B7" s="5" t="n">
        <v>1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20</v>
      </c>
      <c r="K7" s="5" t="s">
        <v>34</v>
      </c>
    </row>
    <row r="8" customFormat="false" ht="23.85" hidden="false" customHeight="false" outlineLevel="0" collapsed="false">
      <c r="A8" s="5" t="n">
        <v>4</v>
      </c>
      <c r="B8" s="5" t="n">
        <v>1</v>
      </c>
      <c r="C8" s="5" t="s">
        <v>35</v>
      </c>
      <c r="D8" s="5" t="s">
        <v>36</v>
      </c>
      <c r="E8" s="5" t="s">
        <v>37</v>
      </c>
      <c r="F8" s="5" t="s">
        <v>16</v>
      </c>
      <c r="G8" s="5" t="s">
        <v>38</v>
      </c>
      <c r="H8" s="5" t="s">
        <v>25</v>
      </c>
      <c r="I8" s="5" t="s">
        <v>39</v>
      </c>
      <c r="J8" s="5" t="s">
        <v>20</v>
      </c>
      <c r="K8" s="5" t="s">
        <v>40</v>
      </c>
    </row>
    <row r="9" customFormat="false" ht="15" hidden="false" customHeight="false" outlineLevel="0" collapsed="false">
      <c r="A9" s="5" t="n">
        <v>5</v>
      </c>
      <c r="B9" s="5" t="n">
        <v>1</v>
      </c>
      <c r="C9" s="5" t="s">
        <v>41</v>
      </c>
      <c r="D9" s="5" t="s">
        <v>42</v>
      </c>
      <c r="E9" s="5" t="s">
        <v>42</v>
      </c>
      <c r="F9" s="5" t="s">
        <v>43</v>
      </c>
      <c r="G9" s="5" t="s">
        <v>44</v>
      </c>
      <c r="H9" s="5" t="s">
        <v>45</v>
      </c>
      <c r="I9" s="5" t="s">
        <v>46</v>
      </c>
      <c r="J9" s="5" t="s">
        <v>20</v>
      </c>
      <c r="K9" s="5" t="s">
        <v>47</v>
      </c>
    </row>
    <row r="10" customFormat="false" ht="15" hidden="false" customHeight="false" outlineLevel="0" collapsed="false">
      <c r="A10" s="5" t="n">
        <v>6</v>
      </c>
      <c r="B10" s="5" t="n">
        <v>1</v>
      </c>
      <c r="C10" s="5" t="s">
        <v>48</v>
      </c>
      <c r="D10" s="5" t="s">
        <v>49</v>
      </c>
      <c r="E10" s="5" t="s">
        <v>50</v>
      </c>
      <c r="F10" s="5" t="s">
        <v>51</v>
      </c>
      <c r="G10" s="5" t="s">
        <v>52</v>
      </c>
      <c r="H10" s="5" t="s">
        <v>25</v>
      </c>
      <c r="I10" s="5" t="s">
        <v>53</v>
      </c>
      <c r="J10" s="5" t="s">
        <v>54</v>
      </c>
      <c r="K10" s="5" t="s">
        <v>55</v>
      </c>
    </row>
    <row r="11" customFormat="false" ht="23.85" hidden="false" customHeight="false" outlineLevel="0" collapsed="false">
      <c r="A11" s="5" t="n">
        <v>7</v>
      </c>
      <c r="B11" s="5" t="n">
        <v>1</v>
      </c>
      <c r="C11" s="5" t="s">
        <v>56</v>
      </c>
      <c r="D11" s="5" t="s">
        <v>57</v>
      </c>
      <c r="E11" s="5" t="s">
        <v>58</v>
      </c>
      <c r="F11" s="5" t="s">
        <v>59</v>
      </c>
      <c r="G11" s="5" t="s">
        <v>60</v>
      </c>
      <c r="H11" s="5" t="s">
        <v>61</v>
      </c>
      <c r="I11" s="5" t="s">
        <v>62</v>
      </c>
      <c r="J11" s="5" t="s">
        <v>54</v>
      </c>
      <c r="K11" s="5" t="s">
        <v>63</v>
      </c>
    </row>
    <row r="12" customFormat="false" ht="23.85" hidden="false" customHeight="false" outlineLevel="0" collapsed="false">
      <c r="A12" s="5" t="n">
        <v>8</v>
      </c>
      <c r="B12" s="5" t="n">
        <v>1</v>
      </c>
      <c r="C12" s="5" t="s">
        <v>64</v>
      </c>
      <c r="D12" s="5" t="s">
        <v>65</v>
      </c>
      <c r="E12" s="5" t="s">
        <v>58</v>
      </c>
      <c r="F12" s="5" t="s">
        <v>59</v>
      </c>
      <c r="G12" s="5" t="s">
        <v>60</v>
      </c>
      <c r="H12" s="5" t="s">
        <v>61</v>
      </c>
      <c r="I12" s="5" t="s">
        <v>62</v>
      </c>
      <c r="J12" s="5" t="s">
        <v>54</v>
      </c>
      <c r="K12" s="5" t="s">
        <v>66</v>
      </c>
    </row>
    <row r="13" customFormat="false" ht="15" hidden="false" customHeight="false" outlineLevel="0" collapsed="false">
      <c r="A13" s="5" t="n">
        <v>9</v>
      </c>
      <c r="B13" s="5" t="n">
        <v>1</v>
      </c>
      <c r="C13" s="5" t="s">
        <v>67</v>
      </c>
      <c r="D13" s="5" t="s">
        <v>68</v>
      </c>
      <c r="E13" s="5" t="s">
        <v>68</v>
      </c>
      <c r="F13" s="5" t="s">
        <v>43</v>
      </c>
      <c r="G13" s="5" t="s">
        <v>69</v>
      </c>
      <c r="H13" s="5" t="s">
        <v>70</v>
      </c>
      <c r="I13" s="5" t="s">
        <v>71</v>
      </c>
      <c r="J13" s="5" t="s">
        <v>20</v>
      </c>
      <c r="K13" s="5" t="s">
        <v>72</v>
      </c>
    </row>
    <row r="14" customFormat="false" ht="15" hidden="false" customHeight="false" outlineLevel="0" collapsed="false">
      <c r="A14" s="5" t="n">
        <v>10</v>
      </c>
      <c r="B14" s="5" t="n">
        <v>1</v>
      </c>
      <c r="C14" s="5" t="s">
        <v>73</v>
      </c>
      <c r="D14" s="5" t="s">
        <v>74</v>
      </c>
      <c r="E14" s="5" t="s">
        <v>75</v>
      </c>
      <c r="F14" s="5" t="s">
        <v>76</v>
      </c>
      <c r="G14" s="5" t="s">
        <v>77</v>
      </c>
      <c r="H14" s="5" t="s">
        <v>25</v>
      </c>
      <c r="I14" s="5" t="s">
        <v>78</v>
      </c>
      <c r="J14" s="5" t="s">
        <v>20</v>
      </c>
      <c r="K14" s="5" t="s">
        <v>79</v>
      </c>
    </row>
    <row r="15" customFormat="false" ht="15" hidden="false" customHeight="false" outlineLevel="0" collapsed="false">
      <c r="A15" s="5" t="n">
        <v>11</v>
      </c>
      <c r="B15" s="5" t="n">
        <v>1</v>
      </c>
      <c r="C15" s="5" t="s">
        <v>80</v>
      </c>
      <c r="D15" s="5" t="s">
        <v>81</v>
      </c>
      <c r="E15" s="5" t="s">
        <v>82</v>
      </c>
      <c r="F15" s="5" t="s">
        <v>76</v>
      </c>
      <c r="G15" s="5" t="s">
        <v>83</v>
      </c>
      <c r="H15" s="5" t="s">
        <v>25</v>
      </c>
      <c r="I15" s="5" t="s">
        <v>84</v>
      </c>
      <c r="J15" s="5" t="s">
        <v>20</v>
      </c>
      <c r="K15" s="5" t="s">
        <v>85</v>
      </c>
    </row>
    <row r="16" customFormat="false" ht="23.85" hidden="false" customHeight="false" outlineLevel="0" collapsed="false">
      <c r="A16" s="5" t="n">
        <v>12</v>
      </c>
      <c r="B16" s="5" t="n">
        <v>1</v>
      </c>
      <c r="C16" s="5" t="s">
        <v>86</v>
      </c>
      <c r="D16" s="5" t="s">
        <v>87</v>
      </c>
      <c r="E16" s="5" t="s">
        <v>87</v>
      </c>
      <c r="F16" s="5" t="s">
        <v>88</v>
      </c>
      <c r="G16" s="5" t="s">
        <v>31</v>
      </c>
      <c r="H16" s="5" t="s">
        <v>89</v>
      </c>
      <c r="I16" s="5" t="s">
        <v>90</v>
      </c>
      <c r="J16" s="5" t="s">
        <v>54</v>
      </c>
      <c r="K16" s="5" t="s">
        <v>91</v>
      </c>
    </row>
    <row r="17" customFormat="false" ht="15" hidden="false" customHeight="false" outlineLevel="0" collapsed="false">
      <c r="A17" s="5" t="n">
        <v>13</v>
      </c>
      <c r="B17" s="5" t="n">
        <v>1</v>
      </c>
      <c r="C17" s="5" t="s">
        <v>92</v>
      </c>
      <c r="D17" s="5" t="s">
        <v>93</v>
      </c>
      <c r="E17" s="5" t="s">
        <v>94</v>
      </c>
      <c r="F17" s="5" t="s">
        <v>95</v>
      </c>
      <c r="G17" s="5" t="s">
        <v>96</v>
      </c>
      <c r="H17" s="5" t="s">
        <v>97</v>
      </c>
      <c r="I17" s="5" t="s">
        <v>98</v>
      </c>
      <c r="J17" s="5" t="s">
        <v>20</v>
      </c>
      <c r="K17" s="5" t="s">
        <v>99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customFormat="false" ht="23.85" hidden="false" customHeight="false" outlineLevel="0" collapsed="false">
      <c r="A19" s="6" t="s">
        <v>100</v>
      </c>
      <c r="B19" s="6" t="n">
        <f aca="false">SUM(B5:B17)</f>
        <v>15</v>
      </c>
      <c r="C19" s="6" t="s">
        <v>101</v>
      </c>
      <c r="D19" s="6" t="s">
        <v>102</v>
      </c>
      <c r="E19" s="6" t="n">
        <f aca="false">COUNTA(E5:E17)</f>
        <v>13</v>
      </c>
      <c r="F19" s="6" t="s">
        <v>103</v>
      </c>
      <c r="G19" s="6" t="s">
        <v>102</v>
      </c>
      <c r="H19" s="6" t="s">
        <v>102</v>
      </c>
      <c r="I19" s="6" t="s">
        <v>102</v>
      </c>
      <c r="J19" s="6" t="s">
        <v>102</v>
      </c>
      <c r="K19" s="6" t="s">
        <v>104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customFormat="false" ht="102.95" hidden="false" customHeight="false" outlineLevel="0" collapsed="false">
      <c r="A21" s="7" t="s">
        <v>105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customFormat="false" ht="15" hidden="false" customHeight="false" outlineLevel="0" collapsed="false">
      <c r="A22" s="4" t="s">
        <v>2</v>
      </c>
      <c r="B22" s="4" t="s">
        <v>3</v>
      </c>
      <c r="C22" s="4" t="s">
        <v>4</v>
      </c>
      <c r="D22" s="4" t="s">
        <v>5</v>
      </c>
      <c r="E22" s="4" t="s">
        <v>6</v>
      </c>
      <c r="F22" s="4" t="s">
        <v>7</v>
      </c>
      <c r="G22" s="4" t="s">
        <v>8</v>
      </c>
      <c r="H22" s="4" t="s">
        <v>9</v>
      </c>
      <c r="I22" s="4" t="s">
        <v>10</v>
      </c>
      <c r="J22" s="4" t="s">
        <v>11</v>
      </c>
      <c r="K22" s="4" t="s">
        <v>12</v>
      </c>
    </row>
    <row r="23" customFormat="false" ht="15" hidden="false" customHeight="false" outlineLevel="0" collapsed="false">
      <c r="A23" s="5" t="s">
        <v>106</v>
      </c>
      <c r="B23" s="5" t="n">
        <v>4</v>
      </c>
      <c r="C23" s="5" t="s">
        <v>107</v>
      </c>
      <c r="D23" s="5" t="s">
        <v>108</v>
      </c>
      <c r="E23" s="5" t="s">
        <v>109</v>
      </c>
      <c r="F23" s="5" t="s">
        <v>110</v>
      </c>
      <c r="G23" s="5" t="s">
        <v>110</v>
      </c>
      <c r="H23" s="5" t="s">
        <v>111</v>
      </c>
      <c r="I23" s="5" t="s">
        <v>112</v>
      </c>
      <c r="J23" s="5" t="s">
        <v>54</v>
      </c>
      <c r="K23" s="5" t="s">
        <v>113</v>
      </c>
    </row>
    <row r="24" customFormat="false" ht="23.85" hidden="false" customHeight="false" outlineLevel="0" collapsed="false">
      <c r="A24" s="5" t="s">
        <v>114</v>
      </c>
      <c r="B24" s="5" t="n">
        <v>5</v>
      </c>
      <c r="C24" s="5" t="s">
        <v>115</v>
      </c>
      <c r="D24" s="5" t="s">
        <v>116</v>
      </c>
      <c r="E24" s="5" t="s">
        <v>109</v>
      </c>
      <c r="F24" s="5" t="s">
        <v>110</v>
      </c>
      <c r="G24" s="5" t="s">
        <v>110</v>
      </c>
      <c r="H24" s="5" t="s">
        <v>117</v>
      </c>
      <c r="I24" s="5" t="s">
        <v>118</v>
      </c>
      <c r="J24" s="5" t="s">
        <v>20</v>
      </c>
      <c r="K24" s="5" t="s">
        <v>119</v>
      </c>
    </row>
    <row r="25" customFormat="false" ht="23.85" hidden="false" customHeight="false" outlineLevel="0" collapsed="false">
      <c r="A25" s="5" t="s">
        <v>120</v>
      </c>
      <c r="B25" s="5" t="n">
        <v>1</v>
      </c>
      <c r="C25" s="5" t="s">
        <v>121</v>
      </c>
      <c r="D25" s="5" t="s">
        <v>122</v>
      </c>
      <c r="E25" s="5" t="s">
        <v>123</v>
      </c>
      <c r="F25" s="5" t="s">
        <v>76</v>
      </c>
      <c r="G25" s="5" t="s">
        <v>124</v>
      </c>
      <c r="H25" s="5" t="s">
        <v>25</v>
      </c>
      <c r="I25" s="5" t="s">
        <v>125</v>
      </c>
      <c r="J25" s="5" t="s">
        <v>20</v>
      </c>
      <c r="K25" s="5" t="s">
        <v>126</v>
      </c>
    </row>
    <row r="26" customFormat="false" ht="23.85" hidden="false" customHeight="false" outlineLevel="0" collapsed="false">
      <c r="A26" s="5" t="s">
        <v>127</v>
      </c>
      <c r="B26" s="5" t="n">
        <v>1</v>
      </c>
      <c r="C26" s="5" t="s">
        <v>128</v>
      </c>
      <c r="D26" s="5" t="s">
        <v>122</v>
      </c>
      <c r="E26" s="5" t="s">
        <v>123</v>
      </c>
      <c r="F26" s="5" t="s">
        <v>76</v>
      </c>
      <c r="G26" s="5" t="s">
        <v>124</v>
      </c>
      <c r="H26" s="5" t="s">
        <v>25</v>
      </c>
      <c r="I26" s="5" t="s">
        <v>125</v>
      </c>
      <c r="J26" s="5" t="s">
        <v>20</v>
      </c>
      <c r="K26" s="5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24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16"/>
  </cols>
  <sheetData>
    <row r="1" customFormat="false" ht="72.35" hidden="false" customHeight="false" outlineLevel="0" collapsed="false">
      <c r="A1" s="1" t="s">
        <v>129</v>
      </c>
      <c r="B1" s="2"/>
      <c r="C1" s="2"/>
      <c r="D1" s="2"/>
      <c r="E1" s="2"/>
      <c r="F1" s="2"/>
      <c r="G1" s="2"/>
      <c r="H1" s="2"/>
      <c r="I1" s="2"/>
    </row>
    <row r="2" customFormat="false" ht="64.15" hidden="false" customHeight="false" outlineLevel="0" collapsed="false">
      <c r="A2" s="3" t="s">
        <v>130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3.85" hidden="false" customHeight="false" outlineLevel="0" collapsed="false">
      <c r="A4" s="4" t="s">
        <v>131</v>
      </c>
      <c r="B4" s="4" t="s">
        <v>132</v>
      </c>
      <c r="C4" s="4" t="s">
        <v>6</v>
      </c>
      <c r="D4" s="4" t="s">
        <v>133</v>
      </c>
      <c r="E4" s="4" t="s">
        <v>134</v>
      </c>
      <c r="F4" s="4" t="s">
        <v>135</v>
      </c>
      <c r="G4" s="4" t="s">
        <v>136</v>
      </c>
      <c r="H4" s="4" t="s">
        <v>137</v>
      </c>
      <c r="I4" s="4" t="s">
        <v>138</v>
      </c>
    </row>
    <row r="5" customFormat="false" ht="15" hidden="false" customHeight="false" outlineLevel="0" collapsed="false">
      <c r="A5" s="5" t="s">
        <v>13</v>
      </c>
      <c r="B5" s="5" t="n">
        <v>1</v>
      </c>
      <c r="C5" s="5" t="s">
        <v>15</v>
      </c>
      <c r="D5" s="5" t="s">
        <v>17</v>
      </c>
      <c r="E5" s="8" t="n">
        <v>0.0287</v>
      </c>
      <c r="F5" s="8" t="n">
        <v>0.0287</v>
      </c>
      <c r="G5" s="9" t="n">
        <f aca="false">B5*E5</f>
        <v>0.0287</v>
      </c>
      <c r="H5" s="9" t="n">
        <f aca="false">B5*F5</f>
        <v>0.0287</v>
      </c>
      <c r="I5" s="5" t="s">
        <v>139</v>
      </c>
    </row>
    <row r="6" customFormat="false" ht="15" hidden="false" customHeight="false" outlineLevel="0" collapsed="false">
      <c r="A6" s="5" t="s">
        <v>21</v>
      </c>
      <c r="B6" s="5" t="n">
        <v>3</v>
      </c>
      <c r="C6" s="5" t="s">
        <v>23</v>
      </c>
      <c r="D6" s="5" t="s">
        <v>24</v>
      </c>
      <c r="E6" s="8" t="n">
        <v>0.0049</v>
      </c>
      <c r="F6" s="8" t="n">
        <v>0.0049</v>
      </c>
      <c r="G6" s="9" t="n">
        <f aca="false">B6*E6</f>
        <v>0.0147</v>
      </c>
      <c r="H6" s="9" t="n">
        <f aca="false">B6*F6</f>
        <v>0.0147</v>
      </c>
      <c r="I6" s="5" t="s">
        <v>139</v>
      </c>
    </row>
    <row r="7" customFormat="false" ht="15" hidden="false" customHeight="false" outlineLevel="0" collapsed="false">
      <c r="A7" s="5" t="s">
        <v>27</v>
      </c>
      <c r="B7" s="5" t="n">
        <v>1</v>
      </c>
      <c r="C7" s="5" t="s">
        <v>29</v>
      </c>
      <c r="D7" s="5" t="s">
        <v>31</v>
      </c>
      <c r="E7" s="8" t="n">
        <v>1.3</v>
      </c>
      <c r="F7" s="8" t="n">
        <v>1</v>
      </c>
      <c r="G7" s="9" t="n">
        <f aca="false">B7*E7</f>
        <v>1.3</v>
      </c>
      <c r="H7" s="9" t="n">
        <f aca="false">B7*F7</f>
        <v>1</v>
      </c>
      <c r="I7" s="5" t="s">
        <v>140</v>
      </c>
    </row>
    <row r="8" customFormat="false" ht="15" hidden="false" customHeight="false" outlineLevel="0" collapsed="false">
      <c r="A8" s="5" t="s">
        <v>35</v>
      </c>
      <c r="B8" s="5" t="n">
        <v>1</v>
      </c>
      <c r="C8" s="5" t="s">
        <v>37</v>
      </c>
      <c r="D8" s="5" t="s">
        <v>38</v>
      </c>
      <c r="E8" s="8" t="n">
        <v>0.0054</v>
      </c>
      <c r="F8" s="8" t="n">
        <v>0.0054</v>
      </c>
      <c r="G8" s="9" t="n">
        <f aca="false">B8*E8</f>
        <v>0.0054</v>
      </c>
      <c r="H8" s="9" t="n">
        <f aca="false">B8*F8</f>
        <v>0.0054</v>
      </c>
      <c r="I8" s="5" t="s">
        <v>139</v>
      </c>
    </row>
    <row r="9" customFormat="false" ht="15" hidden="false" customHeight="false" outlineLevel="0" collapsed="false">
      <c r="A9" s="5" t="s">
        <v>41</v>
      </c>
      <c r="B9" s="5" t="n">
        <v>1</v>
      </c>
      <c r="C9" s="5" t="s">
        <v>42</v>
      </c>
      <c r="D9" s="5" t="s">
        <v>44</v>
      </c>
      <c r="E9" s="8" t="n">
        <v>0.012</v>
      </c>
      <c r="F9" s="8" t="n">
        <v>0.008</v>
      </c>
      <c r="G9" s="9" t="n">
        <f aca="false">B9*E9</f>
        <v>0.012</v>
      </c>
      <c r="H9" s="9" t="n">
        <f aca="false">B9*F9</f>
        <v>0.008</v>
      </c>
      <c r="I9" s="5" t="s">
        <v>140</v>
      </c>
    </row>
    <row r="10" customFormat="false" ht="15" hidden="false" customHeight="false" outlineLevel="0" collapsed="false">
      <c r="A10" s="5" t="s">
        <v>48</v>
      </c>
      <c r="B10" s="5" t="n">
        <v>1</v>
      </c>
      <c r="C10" s="5" t="s">
        <v>50</v>
      </c>
      <c r="D10" s="5" t="s">
        <v>52</v>
      </c>
      <c r="E10" s="8" t="n">
        <v>0.012</v>
      </c>
      <c r="F10" s="8" t="n">
        <v>0.008</v>
      </c>
      <c r="G10" s="9" t="n">
        <f aca="false">B10*E10</f>
        <v>0.012</v>
      </c>
      <c r="H10" s="9" t="n">
        <f aca="false">B10*F10</f>
        <v>0.008</v>
      </c>
      <c r="I10" s="5" t="s">
        <v>140</v>
      </c>
    </row>
    <row r="11" customFormat="false" ht="15" hidden="false" customHeight="false" outlineLevel="0" collapsed="false">
      <c r="A11" s="5" t="s">
        <v>56</v>
      </c>
      <c r="B11" s="5" t="n">
        <v>1</v>
      </c>
      <c r="C11" s="5" t="s">
        <v>58</v>
      </c>
      <c r="D11" s="5" t="s">
        <v>60</v>
      </c>
      <c r="E11" s="8" t="n">
        <v>0.25</v>
      </c>
      <c r="F11" s="8" t="n">
        <v>0.18</v>
      </c>
      <c r="G11" s="9" t="n">
        <f aca="false">B11*E11</f>
        <v>0.25</v>
      </c>
      <c r="H11" s="9" t="n">
        <f aca="false">B11*F11</f>
        <v>0.18</v>
      </c>
      <c r="I11" s="5" t="s">
        <v>140</v>
      </c>
    </row>
    <row r="12" customFormat="false" ht="15" hidden="false" customHeight="false" outlineLevel="0" collapsed="false">
      <c r="A12" s="5" t="s">
        <v>64</v>
      </c>
      <c r="B12" s="5" t="n">
        <v>1</v>
      </c>
      <c r="C12" s="5" t="s">
        <v>58</v>
      </c>
      <c r="D12" s="5" t="s">
        <v>60</v>
      </c>
      <c r="E12" s="8" t="n">
        <v>0.25</v>
      </c>
      <c r="F12" s="8" t="n">
        <v>0.18</v>
      </c>
      <c r="G12" s="9" t="n">
        <f aca="false">B12*E12</f>
        <v>0.25</v>
      </c>
      <c r="H12" s="9" t="n">
        <f aca="false">B12*F12</f>
        <v>0.18</v>
      </c>
      <c r="I12" s="5" t="s">
        <v>140</v>
      </c>
    </row>
    <row r="13" customFormat="false" ht="15" hidden="false" customHeight="false" outlineLevel="0" collapsed="false">
      <c r="A13" s="5" t="s">
        <v>67</v>
      </c>
      <c r="B13" s="5" t="n">
        <v>1</v>
      </c>
      <c r="C13" s="5" t="s">
        <v>68</v>
      </c>
      <c r="D13" s="5" t="s">
        <v>69</v>
      </c>
      <c r="E13" s="8" t="n">
        <v>0.012</v>
      </c>
      <c r="F13" s="8" t="n">
        <v>0.008</v>
      </c>
      <c r="G13" s="9" t="n">
        <f aca="false">B13*E13</f>
        <v>0.012</v>
      </c>
      <c r="H13" s="9" t="n">
        <f aca="false">B13*F13</f>
        <v>0.008</v>
      </c>
      <c r="I13" s="5" t="s">
        <v>140</v>
      </c>
    </row>
    <row r="14" customFormat="false" ht="15" hidden="false" customHeight="false" outlineLevel="0" collapsed="false">
      <c r="A14" s="5" t="s">
        <v>73</v>
      </c>
      <c r="B14" s="5" t="n">
        <v>1</v>
      </c>
      <c r="C14" s="5" t="s">
        <v>75</v>
      </c>
      <c r="D14" s="5" t="s">
        <v>77</v>
      </c>
      <c r="E14" s="8" t="n">
        <v>0.001</v>
      </c>
      <c r="F14" s="8" t="n">
        <v>0.001</v>
      </c>
      <c r="G14" s="9" t="n">
        <f aca="false">B14*E14</f>
        <v>0.001</v>
      </c>
      <c r="H14" s="9" t="n">
        <f aca="false">B14*F14</f>
        <v>0.001</v>
      </c>
      <c r="I14" s="5" t="s">
        <v>140</v>
      </c>
    </row>
    <row r="15" customFormat="false" ht="15" hidden="false" customHeight="false" outlineLevel="0" collapsed="false">
      <c r="A15" s="5" t="s">
        <v>80</v>
      </c>
      <c r="B15" s="5" t="n">
        <v>1</v>
      </c>
      <c r="C15" s="5" t="s">
        <v>82</v>
      </c>
      <c r="D15" s="5" t="s">
        <v>83</v>
      </c>
      <c r="E15" s="8" t="n">
        <v>0.001</v>
      </c>
      <c r="F15" s="8" t="n">
        <v>0.001</v>
      </c>
      <c r="G15" s="9" t="n">
        <f aca="false">B15*E15</f>
        <v>0.001</v>
      </c>
      <c r="H15" s="9" t="n">
        <f aca="false">B15*F15</f>
        <v>0.001</v>
      </c>
      <c r="I15" s="5" t="s">
        <v>140</v>
      </c>
    </row>
    <row r="16" customFormat="false" ht="15" hidden="false" customHeight="false" outlineLevel="0" collapsed="false">
      <c r="A16" s="5" t="s">
        <v>86</v>
      </c>
      <c r="B16" s="5" t="n">
        <v>1</v>
      </c>
      <c r="C16" s="5" t="s">
        <v>87</v>
      </c>
      <c r="D16" s="5" t="s">
        <v>31</v>
      </c>
      <c r="E16" s="8" t="n">
        <v>22</v>
      </c>
      <c r="F16" s="8" t="n">
        <v>19</v>
      </c>
      <c r="G16" s="9" t="n">
        <f aca="false">B16*E16</f>
        <v>22</v>
      </c>
      <c r="H16" s="9" t="n">
        <f aca="false">B16*F16</f>
        <v>19</v>
      </c>
      <c r="I16" s="5" t="s">
        <v>140</v>
      </c>
    </row>
    <row r="17" customFormat="false" ht="15" hidden="false" customHeight="false" outlineLevel="0" collapsed="false">
      <c r="A17" s="5" t="s">
        <v>92</v>
      </c>
      <c r="B17" s="5" t="n">
        <v>1</v>
      </c>
      <c r="C17" s="5" t="s">
        <v>94</v>
      </c>
      <c r="D17" s="5" t="s">
        <v>96</v>
      </c>
      <c r="E17" s="8" t="n">
        <v>3.69</v>
      </c>
      <c r="F17" s="8" t="n">
        <v>2.98</v>
      </c>
      <c r="G17" s="9" t="n">
        <f aca="false">B17*E17</f>
        <v>3.69</v>
      </c>
      <c r="H17" s="9" t="n">
        <f aca="false">B17*F17</f>
        <v>2.98</v>
      </c>
      <c r="I17" s="5" t="s">
        <v>139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6" t="s">
        <v>141</v>
      </c>
      <c r="B19" s="6" t="n">
        <f aca="false">SUM(B5:B17)</f>
        <v>15</v>
      </c>
      <c r="C19" s="6"/>
      <c r="D19" s="6"/>
      <c r="E19" s="6"/>
      <c r="F19" s="6"/>
      <c r="G19" s="10" t="n">
        <f aca="false">SUM(G5:G17)</f>
        <v>27.5768</v>
      </c>
      <c r="H19" s="10" t="n">
        <f aca="false">SUM(H5:H17)</f>
        <v>23.4148</v>
      </c>
      <c r="I19" s="6"/>
    </row>
    <row r="20" customFormat="false" ht="23.85" hidden="false" customHeight="false" outlineLevel="0" collapsed="false">
      <c r="A20" s="2" t="s">
        <v>142</v>
      </c>
      <c r="B20" s="2"/>
      <c r="C20" s="2"/>
      <c r="D20" s="2"/>
      <c r="E20" s="2"/>
      <c r="F20" s="2"/>
      <c r="G20" s="11" t="n">
        <f aca="false">G16/G19</f>
        <v>0.797772040265731</v>
      </c>
      <c r="H20" s="11" t="n">
        <f aca="false">H16/H19</f>
        <v>0.811452585544186</v>
      </c>
      <c r="I20" s="2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2026-10-24T06:20:18Z</dcterms:created>
  <dc:creator>openpyxl</dc:creator>
  <dc:description/>
  <dc:language>en-US</dc:language>
  <cp:lastModifiedBy/>
  <dcterms:modified xsi:type="dcterms:W3CDTF">2026-10-24T06:20:18Z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